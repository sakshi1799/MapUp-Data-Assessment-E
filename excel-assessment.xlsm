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akshikulhari/Desktop/MapUp-Data-Assessment-E/"/>
    </mc:Choice>
  </mc:AlternateContent>
  <xr:revisionPtr revIDLastSave="0" documentId="13_ncr:1_{259CA4FF-B5AD-2442-BB02-3321DCC91163}" xr6:coauthVersionLast="47" xr6:coauthVersionMax="47" xr10:uidLastSave="{00000000-0000-0000-0000-000000000000}"/>
  <bookViews>
    <workbookView xWindow="0" yWindow="740" windowWidth="29400" windowHeight="1630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B6" i="18"/>
  <c r="C5" i="15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<sst xmlns="http://schemas.openxmlformats.org/spreadsheetml/2006/main" count="406" uniqueCount="183">
  <si>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</si>
  <si>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</si>
  <si>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</si>
  <si>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</si>
  <si>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</si>
  <si>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</si>
  <si>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</si>
  <si>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</si>
  <si>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</si>
  <si>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</si>
  <si>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</si>
  <si>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</si>
  <si>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</si>
  <si>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</si>
  <si>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</si>
  <si>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</si>
  <si>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</si>
  <si>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</si>
  <si>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</si>
  <si>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</si>
  <si>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</si>
  <si>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</si>
  <si>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</si>
  <si>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</si>
  <si>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</si>
  <si>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</si>
  <si>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</si>
  <si>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</si>
  <si>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</si>
  <si>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</si>
  <si>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</si>
  <si>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</si>
  <si>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</si>
  <si>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</si>
  <si>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</si>
  <si>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</si>
  <si>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</si>
  <si>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</si>
  <si>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</si>
  <si>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</si>
  <si>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</si>
  <si>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</si>
  <si>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</si>
  <si>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</si>
  <si>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</si>
  <si>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</si>
  <si>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</si>
  <si>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</si>
  <si>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</si>
  <si>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</si>
  <si>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</si>
  <si>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</si>
  <si>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</si>
  <si>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</si>
  <si>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</si>
  <si>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</si>
  <si>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</si>
  <si>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</si>
  <si>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</si>
  <si>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</si>
  <si>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</si>
  <si>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</si>
  <si>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</si>
  <si>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</si>
  <si>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</si>
  <si>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</si>
  <si>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</si>
  <si>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</si>
  <si>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</si>
  <si>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</si>
  <si>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</si>
  <si>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</si>
  <si>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</si>
  <si>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</si>
  <si>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</si>
  <si>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</si>
  <si>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</si>
  <si>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</si>
  <si>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</si>
  <si>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</si>
  <si>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</si>
  <si>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</si>
  <si>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</si>
  <si>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</si>
  <si>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</si>
  <si>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</si>
  <si>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</si>
  <si>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</si>
  <si>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</si>
  <si>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</si>
  <si>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</si>
  <si>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</si>
  <si>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</si>
  <si>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</si>
  <si>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</si>
  <si>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</si>
  <si>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</si>
  <si>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</si>
  <si>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</si>
  <si>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</si>
  <si>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</si>
  <si>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</si>
  <si>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</si>
  <si>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</si>
  <si>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</si>
  <si>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</si>
  <si>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</si>
  <si>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</si>
  <si>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</si>
  <si>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</si>
  <si>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</si>
  <si>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</si>
  <si>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</si>
  <si>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</si>
  <si>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</si>
  <si>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</si>
  <si>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</si>
  <si>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</si>
  <si>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</si>
  <si>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</si>
  <si>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</si>
  <si>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</si>
  <si>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</si>
  <si>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</si>
  <si>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</si>
  <si>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</si>
  <si>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</si>
  <si>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</si>
  <si>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</si>
  <si>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</si>
  <si>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</si>
  <si>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</si>
  <si>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</si>
  <si>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</si>
  <si>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</si>
  <si>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</si>
  <si>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</si>
  <si>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</si>
  <si>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</si>
  <si>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</si>
  <si>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</si>
  <si>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</si>
  <si>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</si>
  <si>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</si>
  <si>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</si>
  <si>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</si>
  <si>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</si>
  <si>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</si>
  <si>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</si>
  <si>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</si>
  <si>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</si>
  <si>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</si>
  <si>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</si>
  <si>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</si>
  <si>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</si>
  <si>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</si>
  <si>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</si>
  <si>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</si>
  <si>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</si>
  <si>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</si>
  <si>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</si>
  <si>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</si>
  <si>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</si>
  <si>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</si>
  <si>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</si>
  <si>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</si>
  <si>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</si>
  <si>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</si>
  <si>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</si>
  <si>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</si>
  <si>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</si>
  <si>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</si>
  <si>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</si>
  <si>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</si>
  <si>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</si>
  <si>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</si>
  <si>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</si>
  <si>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Here I have used the text to columns functionality under the data section and then specified "-" (hypen) as the delimiter to separate the columns</t>
  </si>
  <si>
    <t>SUMIFS and COUNTIFS</t>
  </si>
  <si>
    <t>I have used the conditional sumif to calculate the total of the non N/A values. I have then utilized the countif's to count the number of N/A's and then multiplied it by 20. Post this I have taken a sum of both of these quntities.</t>
  </si>
  <si>
    <t>Text to columns and delimiter functionality</t>
  </si>
  <si>
    <t>I have used a combination of index , match and vlookup.</t>
  </si>
  <si>
    <t>I have used vlookup to find the mapping of the alphabets with numbers (looking for table c values in table b and returning the mapped alphabet) and then I have used the index and match to get the final value of the table c by searching values in table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</si>
</sst>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4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2" activePane="bottomLeft" state="frozen"/>
      <selection activeCell="F1" sqref="F1"/>
      <selection pane="bottomLeft" activeCell="V4" sqref="V4"/>
    </sheetView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2" customWidth="1"/>
    <col min="5" max="5" width="9.19921875" style="1" bestFit="1" customWidth="1"/>
    <col min="6" max="6" width="10.3984375" style="22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28" style="44" bestFit="1" customWidth="1"/>
    <col min="25" max="16384" width="9" style="1"/>
  </cols>
  <sheetData>
    <row r="1" spans="1:24" s="3" customFormat="1" ht="14.75" customHeight="1" x14ac:dyDescent="0.2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3" t="s">
        <v>105</v>
      </c>
    </row>
    <row r="2" spans="1:24" x14ac:dyDescent="0.2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G4">
    <cfRule type="cellIs" dxfId="2" priority="3" operator="equal">
      <formula>0</formula>
    </cfRule>
  </conditionalFormatting>
  <conditionalFormatting sqref="G4:W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2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">
      <c r="A2" s="2"/>
      <c r="B2" s="5" t="s">
        <v>160</v>
      </c>
      <c r="C2" s="2"/>
    </row>
    <row r="3" spans="1:5" x14ac:dyDescent="0.2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">
      <c r="A4" s="6">
        <v>2</v>
      </c>
      <c r="B4" s="2" t="s">
        <v>46</v>
      </c>
      <c r="C4" s="2"/>
      <c r="E4" s="1">
        <v>5</v>
      </c>
    </row>
    <row r="5" spans="1:5" x14ac:dyDescent="0.2">
      <c r="A5" s="6">
        <v>3</v>
      </c>
      <c r="B5" s="2" t="s">
        <v>104</v>
      </c>
      <c r="C5" s="32">
        <f>SUMIF(Dataset!H:H, "&gt;20")</f>
        <v>1473.0000000000002</v>
      </c>
      <c r="E5" s="1">
        <v>10</v>
      </c>
    </row>
    <row r="6" spans="1:5" x14ac:dyDescent="0.2">
      <c r="A6" s="6">
        <v>4</v>
      </c>
      <c r="B6" s="2" t="s">
        <v>106</v>
      </c>
      <c r="C6" s="2"/>
      <c r="E6" s="1">
        <v>5</v>
      </c>
    </row>
    <row r="7" spans="1:5" x14ac:dyDescent="0.2">
      <c r="A7" s="2"/>
      <c r="B7" s="2"/>
      <c r="C7" s="2"/>
    </row>
    <row r="13" spans="1:5" x14ac:dyDescent="0.2">
      <c r="E13" s="2"/>
    </row>
    <row r="14" spans="1:5" x14ac:dyDescent="0.2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baseColWidth="10" defaultRowHeight="14" x14ac:dyDescent="0.2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25">
      <c r="A1" s="40" t="s">
        <v>55</v>
      </c>
      <c r="B1" s="39" t="s">
        <v>164</v>
      </c>
    </row>
    <row r="2" spans="1:7" s="39" customFormat="1" ht="21" x14ac:dyDescent="0.25">
      <c r="B2" s="39" t="s">
        <v>161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6" t="s">
        <v>162</v>
      </c>
      <c r="B4" s="1"/>
      <c r="C4" s="1"/>
      <c r="D4" s="1"/>
      <c r="E4" s="1"/>
      <c r="F4" s="1"/>
      <c r="G4" s="1"/>
    </row>
    <row r="5" spans="1:7" ht="15" x14ac:dyDescent="0.2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">
      <c r="A6" s="7" t="s">
        <v>40</v>
      </c>
      <c r="B6" s="10">
        <f>INDEX(Dataset!$A$1:$X$40, MATCH(Task_2!$A6,Dataset!$A:$A,0), MATCH(Task_2!B$5,Dataset!$A$1:$X$1,0))</f>
        <v>2.7</v>
      </c>
      <c r="C6" s="10">
        <f>INDEX(Dataset!$A$1:$X$40, MATCH(Task_2!$A6,Dataset!$A:$A,0), MATCH(Task_2!C$5,Dataset!$A$1:$X$1,0))</f>
        <v>7.6</v>
      </c>
      <c r="D6" s="10">
        <f>INDEX(Dataset!$A$1:$X$40, MATCH(Task_2!$A6,Dataset!$A:$A,0), MATCH(Task_2!D$5,Dataset!$A$1:$X$1,0))</f>
        <v>4.2</v>
      </c>
      <c r="E6" s="10">
        <f>INDEX(Dataset!$A$1:$X$40, MATCH(Task_2!$A6,Dataset!$A:$A,0), MATCH(Task_2!E$5,Dataset!$A$1:$X$1,0))</f>
        <v>8.9</v>
      </c>
      <c r="F6" s="10">
        <f>INDEX(Dataset!$A$1:$X$40, MATCH(Task_2!$A6,Dataset!$A:$A,0), MATCH(Task_2!F$5,Dataset!$A$1:$X$1,0))</f>
        <v>4.2</v>
      </c>
    </row>
    <row r="7" spans="1:7" ht="15" x14ac:dyDescent="0.2">
      <c r="A7" s="7" t="s">
        <v>4</v>
      </c>
      <c r="B7" s="10">
        <f>INDEX(Dataset!$A$1:$X$40, MATCH(Task_2!$A7,Dataset!$A:$A,0), MATCH(Task_2!B$5,Dataset!$A$1:$X$1,0))</f>
        <v>2.7</v>
      </c>
      <c r="C7" s="10">
        <f>INDEX(Dataset!$A$1:$X$40, MATCH(Task_2!$A7,Dataset!$A:$A,0), MATCH(Task_2!C$5,Dataset!$A$1:$X$1,0))</f>
        <v>7.6</v>
      </c>
      <c r="D7" s="10">
        <f>INDEX(Dataset!$A$1:$X$40, MATCH(Task_2!$A7,Dataset!$A:$A,0), MATCH(Task_2!D$5,Dataset!$A$1:$X$1,0))</f>
        <v>4.2</v>
      </c>
      <c r="E7" s="10">
        <f>INDEX(Dataset!$A$1:$X$40, MATCH(Task_2!$A7,Dataset!$A:$A,0), MATCH(Task_2!E$5,Dataset!$A$1:$X$1,0))</f>
        <v>8.9</v>
      </c>
      <c r="F7" s="10">
        <f>INDEX(Dataset!$A$1:$X$40, MATCH(Task_2!$A7,Dataset!$A:$A,0), MATCH(Task_2!F$5,Dataset!$A$1:$X$1,0))</f>
        <v>4.2</v>
      </c>
    </row>
    <row r="8" spans="1:7" ht="15" x14ac:dyDescent="0.2">
      <c r="A8" s="7" t="s">
        <v>7</v>
      </c>
      <c r="B8" s="10">
        <f>INDEX(Dataset!$A$1:$X$40, MATCH(Task_2!$A8,Dataset!$A:$A,0), MATCH(Task_2!B$5,Dataset!$A$1:$X$1,0))</f>
        <v>3.6</v>
      </c>
      <c r="C8" s="10">
        <f>INDEX(Dataset!$A$1:$X$40, MATCH(Task_2!$A8,Dataset!$A:$A,0), MATCH(Task_2!C$5,Dataset!$A$1:$X$1,0))</f>
        <v>11.1</v>
      </c>
      <c r="D8" s="10">
        <f>INDEX(Dataset!$A$1:$X$40, MATCH(Task_2!$A8,Dataset!$A:$A,0), MATCH(Task_2!D$5,Dataset!$A$1:$X$1,0))</f>
        <v>5.8</v>
      </c>
      <c r="E8" s="10">
        <f>INDEX(Dataset!$A$1:$X$40, MATCH(Task_2!$A8,Dataset!$A:$A,0), MATCH(Task_2!E$5,Dataset!$A$1:$X$1,0))</f>
        <v>12.2</v>
      </c>
      <c r="F8" s="10">
        <f>INDEX(Dataset!$A$1:$X$40, MATCH(Task_2!$A8,Dataset!$A:$A,0), MATCH(Task_2!F$5,Dataset!$A$1:$X$1,0))</f>
        <v>5.8</v>
      </c>
    </row>
    <row r="9" spans="1:7" ht="15" x14ac:dyDescent="0.2">
      <c r="A9" s="7" t="s">
        <v>8</v>
      </c>
      <c r="B9" s="10">
        <f>INDEX(Dataset!$A$1:$X$40, MATCH(Task_2!$A9,Dataset!$A:$A,0), MATCH(Task_2!B$5,Dataset!$A$1:$X$1,0))</f>
        <v>4.9000000000000004</v>
      </c>
      <c r="C9" s="10">
        <f>INDEX(Dataset!$A$1:$X$40, MATCH(Task_2!$A9,Dataset!$A:$A,0), MATCH(Task_2!C$5,Dataset!$A$1:$X$1,0))</f>
        <v>13.3</v>
      </c>
      <c r="D9" s="10">
        <f>INDEX(Dataset!$A$1:$X$40, MATCH(Task_2!$A9,Dataset!$A:$A,0), MATCH(Task_2!D$5,Dataset!$A$1:$X$1,0))</f>
        <v>8.1</v>
      </c>
      <c r="E9" s="10">
        <f>INDEX(Dataset!$A$1:$X$40, MATCH(Task_2!$A9,Dataset!$A:$A,0), MATCH(Task_2!E$5,Dataset!$A$1:$X$1,0))</f>
        <v>17</v>
      </c>
      <c r="F9" s="10">
        <f>INDEX(Dataset!$A$1:$X$40, MATCH(Task_2!$A9,Dataset!$A:$A,0), MATCH(Task_2!F$5,Dataset!$A$1:$X$1,0))</f>
        <v>8.1</v>
      </c>
    </row>
    <row r="10" spans="1:7" ht="15" x14ac:dyDescent="0.2">
      <c r="A10" s="7" t="s">
        <v>11</v>
      </c>
      <c r="B10" s="10">
        <f>INDEX(Dataset!$A$1:$X$40, MATCH(Task_2!$A10,Dataset!$A:$A,0), MATCH(Task_2!B$5,Dataset!$A$1:$X$1,0))</f>
        <v>9.4</v>
      </c>
      <c r="C10" s="10">
        <f>INDEX(Dataset!$A$1:$X$40, MATCH(Task_2!$A10,Dataset!$A:$A,0), MATCH(Task_2!C$5,Dataset!$A$1:$X$1,0))</f>
        <v>28.3</v>
      </c>
      <c r="D10" s="10">
        <f>INDEX(Dataset!$A$1:$X$40, MATCH(Task_2!$A10,Dataset!$A:$A,0), MATCH(Task_2!D$5,Dataset!$A$1:$X$1,0))</f>
        <v>16.100000000000001</v>
      </c>
      <c r="E10" s="10">
        <f>INDEX(Dataset!$A$1:$X$40, MATCH(Task_2!$A10,Dataset!$A:$A,0), MATCH(Task_2!E$5,Dataset!$A$1:$X$1,0))</f>
        <v>32.799999999999997</v>
      </c>
      <c r="F10" s="10">
        <f>INDEX(Dataset!$A$1:$X$40, MATCH(Task_2!$A10,Dataset!$A:$A,0), MATCH(Task_2!F$5,Dataset!$A$1:$X$1,0))</f>
        <v>16.100000000000001</v>
      </c>
    </row>
    <row r="11" spans="1:7" ht="15" x14ac:dyDescent="0.2">
      <c r="A11" s="7" t="s">
        <v>12</v>
      </c>
      <c r="B11" s="10">
        <f>INDEX(Dataset!$A$1:$X$40, MATCH(Task_2!$A11,Dataset!$A:$A,0), MATCH(Task_2!B$5,Dataset!$A$1:$X$1,0))</f>
        <v>11.6</v>
      </c>
      <c r="C11" s="10">
        <f>INDEX(Dataset!$A$1:$X$40, MATCH(Task_2!$A11,Dataset!$A:$A,0), MATCH(Task_2!C$5,Dataset!$A$1:$X$1,0))</f>
        <v>35.200000000000003</v>
      </c>
      <c r="D11" s="10">
        <f>INDEX(Dataset!$A$1:$X$40, MATCH(Task_2!$A11,Dataset!$A:$A,0), MATCH(Task_2!D$5,Dataset!$A$1:$X$1,0))</f>
        <v>21.3</v>
      </c>
      <c r="E11" s="10">
        <f>INDEX(Dataset!$A$1:$X$40, MATCH(Task_2!$A11,Dataset!$A:$A,0), MATCH(Task_2!E$5,Dataset!$A$1:$X$1,0))</f>
        <v>43</v>
      </c>
      <c r="F11" s="10">
        <f>INDEX(Dataset!$A$1:$X$40, MATCH(Task_2!$A11,Dataset!$A:$A,0), MATCH(Task_2!F$5,Dataset!$A$1:$X$1,0))</f>
        <v>21.3</v>
      </c>
    </row>
    <row r="12" spans="1:7" ht="15" x14ac:dyDescent="0.2">
      <c r="A12" s="7" t="s">
        <v>14</v>
      </c>
      <c r="B12" s="10">
        <f>INDEX(Dataset!$A$1:$X$40, MATCH(Task_2!$A12,Dataset!$A:$A,0), MATCH(Task_2!B$5,Dataset!$A$1:$X$1,0))</f>
        <v>18.399999999999999</v>
      </c>
      <c r="C12" s="10">
        <f>INDEX(Dataset!$A$1:$X$40, MATCH(Task_2!$A12,Dataset!$A:$A,0), MATCH(Task_2!C$5,Dataset!$A$1:$X$1,0))</f>
        <v>55.6</v>
      </c>
      <c r="D12" s="10">
        <f>INDEX(Dataset!$A$1:$X$40, MATCH(Task_2!$A12,Dataset!$A:$A,0), MATCH(Task_2!D$5,Dataset!$A$1:$X$1,0))</f>
        <v>33.799999999999997</v>
      </c>
      <c r="E12" s="10">
        <f>INDEX(Dataset!$A$1:$X$40, MATCH(Task_2!$A12,Dataset!$A:$A,0), MATCH(Task_2!E$5,Dataset!$A$1:$X$1,0))</f>
        <v>67.900000000000006</v>
      </c>
      <c r="F12" s="10">
        <f>INDEX(Dataset!$A$1:$X$40, MATCH(Task_2!$A12,Dataset!$A:$A,0), MATCH(Task_2!F$5,Dataset!$A$1:$X$1,0))</f>
        <v>33.799999999999997</v>
      </c>
    </row>
    <row r="13" spans="1:7" ht="15" x14ac:dyDescent="0.2">
      <c r="A13" s="7" t="s">
        <v>15</v>
      </c>
      <c r="B13" s="10">
        <f>INDEX(Dataset!$A$1:$X$40, MATCH(Task_2!$A13,Dataset!$A:$A,0), MATCH(Task_2!B$5,Dataset!$A$1:$X$1,0))</f>
        <v>0</v>
      </c>
      <c r="C13" s="10">
        <f>INDEX(Dataset!$A$1:$X$40, MATCH(Task_2!$A13,Dataset!$A:$A,0), MATCH(Task_2!C$5,Dataset!$A$1:$X$1,0))</f>
        <v>0</v>
      </c>
      <c r="D13" s="10">
        <f>INDEX(Dataset!$A$1:$X$40, MATCH(Task_2!$A13,Dataset!$A:$A,0), MATCH(Task_2!D$5,Dataset!$A$1:$X$1,0))</f>
        <v>0</v>
      </c>
      <c r="E13" s="10">
        <f>INDEX(Dataset!$A$1:$X$40, MATCH(Task_2!$A13,Dataset!$A:$A,0), MATCH(Task_2!E$5,Dataset!$A$1:$X$1,0))</f>
        <v>0</v>
      </c>
      <c r="F13" s="10">
        <f>INDEX(Dataset!$A$1:$X$40, MATCH(Task_2!$A13,Dataset!$A:$A,0), MATCH(Task_2!F$5,Dataset!$A$1:$X$1,0))</f>
        <v>0</v>
      </c>
    </row>
    <row r="14" spans="1:7" ht="15" x14ac:dyDescent="0.2">
      <c r="A14" s="7" t="s">
        <v>16</v>
      </c>
      <c r="B14" s="10">
        <f>INDEX(Dataset!$A$1:$X$40, MATCH(Task_2!$A14,Dataset!$A:$A,0), MATCH(Task_2!B$5,Dataset!$A$1:$X$1,0))</f>
        <v>21.9</v>
      </c>
      <c r="C14" s="10">
        <f>INDEX(Dataset!$A$1:$X$40, MATCH(Task_2!$A14,Dataset!$A:$A,0), MATCH(Task_2!C$5,Dataset!$A$1:$X$1,0))</f>
        <v>61.5</v>
      </c>
      <c r="D14" s="10">
        <f>INDEX(Dataset!$A$1:$X$40, MATCH(Task_2!$A14,Dataset!$A:$A,0), MATCH(Task_2!D$5,Dataset!$A$1:$X$1,0))</f>
        <v>40.1</v>
      </c>
      <c r="E14" s="10">
        <f>INDEX(Dataset!$A$1:$X$40, MATCH(Task_2!$A14,Dataset!$A:$A,0), MATCH(Task_2!E$5,Dataset!$A$1:$X$1,0))</f>
        <v>76.599999999999994</v>
      </c>
      <c r="F14" s="10">
        <f>INDEX(Dataset!$A$1:$X$40, MATCH(Task_2!$A14,Dataset!$A:$A,0), MATCH(Task_2!F$5,Dataset!$A$1:$X$1,0))</f>
        <v>40.1</v>
      </c>
    </row>
    <row r="15" spans="1:7" ht="15" x14ac:dyDescent="0.2">
      <c r="A15" s="7" t="s">
        <v>18</v>
      </c>
      <c r="B15" s="10">
        <f>INDEX(Dataset!$A$1:$X$40, MATCH(Task_2!$A15,Dataset!$A:$A,0), MATCH(Task_2!B$5,Dataset!$A$1:$X$1,0))</f>
        <v>26.8</v>
      </c>
      <c r="C15" s="10">
        <f>INDEX(Dataset!$A$1:$X$40, MATCH(Task_2!$A15,Dataset!$A:$A,0), MATCH(Task_2!C$5,Dataset!$A$1:$X$1,0))</f>
        <v>79.599999999999994</v>
      </c>
      <c r="D15" s="10">
        <f>INDEX(Dataset!$A$1:$X$40, MATCH(Task_2!$A15,Dataset!$A:$A,0), MATCH(Task_2!D$5,Dataset!$A$1:$X$1,0))</f>
        <v>47.9</v>
      </c>
      <c r="E15" s="10">
        <f>INDEX(Dataset!$A$1:$X$40, MATCH(Task_2!$A15,Dataset!$A:$A,0), MATCH(Task_2!E$5,Dataset!$A$1:$X$1,0))</f>
        <v>96.8</v>
      </c>
      <c r="F15" s="10">
        <f>INDEX(Dataset!$A$1:$X$40, MATCH(Task_2!$A15,Dataset!$A:$A,0), MATCH(Task_2!F$5,Dataset!$A$1:$X$1,0))</f>
        <v>47.9</v>
      </c>
    </row>
    <row r="16" spans="1:7" ht="15" x14ac:dyDescent="0.2">
      <c r="A16" s="7" t="s">
        <v>20</v>
      </c>
      <c r="B16" s="10">
        <f>INDEX(Dataset!$A$1:$X$40, MATCH(Task_2!$A16,Dataset!$A:$A,0), MATCH(Task_2!B$5,Dataset!$A$1:$X$1,0))</f>
        <v>28.5</v>
      </c>
      <c r="C16" s="10">
        <f>INDEX(Dataset!$A$1:$X$40, MATCH(Task_2!$A16,Dataset!$A:$A,0), MATCH(Task_2!C$5,Dataset!$A$1:$X$1,0))</f>
        <v>85.4</v>
      </c>
      <c r="D16" s="10">
        <f>INDEX(Dataset!$A$1:$X$40, MATCH(Task_2!$A16,Dataset!$A:$A,0), MATCH(Task_2!D$5,Dataset!$A$1:$X$1,0))</f>
        <v>52.3</v>
      </c>
      <c r="E16" s="10">
        <f>INDEX(Dataset!$A$1:$X$40, MATCH(Task_2!$A16,Dataset!$A:$A,0), MATCH(Task_2!E$5,Dataset!$A$1:$X$1,0))</f>
        <v>106.1</v>
      </c>
      <c r="F16" s="10">
        <f>INDEX(Dataset!$A$1:$X$40, MATCH(Task_2!$A16,Dataset!$A:$A,0), MATCH(Task_2!F$5,Dataset!$A$1:$X$1,0))</f>
        <v>52.3</v>
      </c>
    </row>
    <row r="17" spans="1:6" ht="15" x14ac:dyDescent="0.2">
      <c r="A17" s="7" t="s">
        <v>22</v>
      </c>
      <c r="B17" s="10">
        <f>INDEX(Dataset!$A$1:$X$40, MATCH(Task_2!$A17,Dataset!$A:$A,0), MATCH(Task_2!B$5,Dataset!$A$1:$X$1,0))</f>
        <v>30.7</v>
      </c>
      <c r="C17" s="10">
        <f>INDEX(Dataset!$A$1:$X$40, MATCH(Task_2!$A17,Dataset!$A:$A,0), MATCH(Task_2!C$5,Dataset!$A$1:$X$1,0))</f>
        <v>92.1</v>
      </c>
      <c r="D17" s="10">
        <f>INDEX(Dataset!$A$1:$X$40, MATCH(Task_2!$A17,Dataset!$A:$A,0), MATCH(Task_2!D$5,Dataset!$A$1:$X$1,0))</f>
        <v>57</v>
      </c>
      <c r="E17" s="10">
        <f>INDEX(Dataset!$A$1:$X$40, MATCH(Task_2!$A17,Dataset!$A:$A,0), MATCH(Task_2!E$5,Dataset!$A$1:$X$1,0))</f>
        <v>115.1</v>
      </c>
      <c r="F17" s="10">
        <f>INDEX(Dataset!$A$1:$X$40, MATCH(Task_2!$A17,Dataset!$A:$A,0), MATCH(Task_2!F$5,Dataset!$A$1:$X$1,0))</f>
        <v>57</v>
      </c>
    </row>
    <row r="18" spans="1:6" ht="15" x14ac:dyDescent="0.2">
      <c r="A18" s="7" t="s">
        <v>23</v>
      </c>
      <c r="B18" s="10">
        <f>INDEX(Dataset!$A$1:$X$40, MATCH(Task_2!$A18,Dataset!$A:$A,0), MATCH(Task_2!B$5,Dataset!$A$1:$X$1,0))</f>
        <v>33.799999999999997</v>
      </c>
      <c r="C18" s="10">
        <f>INDEX(Dataset!$A$1:$X$40, MATCH(Task_2!$A18,Dataset!$A:$A,0), MATCH(Task_2!C$5,Dataset!$A$1:$X$1,0))</f>
        <v>101.3</v>
      </c>
      <c r="D18" s="10">
        <f>INDEX(Dataset!$A$1:$X$40, MATCH(Task_2!$A18,Dataset!$A:$A,0), MATCH(Task_2!D$5,Dataset!$A$1:$X$1,0))</f>
        <v>61.4</v>
      </c>
      <c r="E18" s="10">
        <f>INDEX(Dataset!$A$1:$X$40, MATCH(Task_2!$A18,Dataset!$A:$A,0), MATCH(Task_2!E$5,Dataset!$A$1:$X$1,0))</f>
        <v>124.4</v>
      </c>
      <c r="F18" s="10">
        <f>INDEX(Dataset!$A$1:$X$40, MATCH(Task_2!$A18,Dataset!$A:$A,0), MATCH(Task_2!F$5,Dataset!$A$1:$X$1,0))</f>
        <v>61.4</v>
      </c>
    </row>
    <row r="19" spans="1:6" ht="15" x14ac:dyDescent="0.2">
      <c r="A19" s="7" t="s">
        <v>24</v>
      </c>
      <c r="B19" s="10">
        <f>INDEX(Dataset!$A$1:$X$40, MATCH(Task_2!$A19,Dataset!$A:$A,0), MATCH(Task_2!B$5,Dataset!$A$1:$X$1,0))</f>
        <v>34.700000000000003</v>
      </c>
      <c r="C19" s="10">
        <f>INDEX(Dataset!$A$1:$X$40, MATCH(Task_2!$A19,Dataset!$A:$A,0), MATCH(Task_2!C$5,Dataset!$A$1:$X$1,0))</f>
        <v>106.1</v>
      </c>
      <c r="D19" s="10">
        <f>INDEX(Dataset!$A$1:$X$40, MATCH(Task_2!$A19,Dataset!$A:$A,0), MATCH(Task_2!D$5,Dataset!$A$1:$X$1,0))</f>
        <v>63.6</v>
      </c>
      <c r="E19" s="10">
        <f>INDEX(Dataset!$A$1:$X$40, MATCH(Task_2!$A19,Dataset!$A:$A,0), MATCH(Task_2!E$5,Dataset!$A$1:$X$1,0))</f>
        <v>128.6</v>
      </c>
      <c r="F19" s="10">
        <f>INDEX(Dataset!$A$1:$X$40, MATCH(Task_2!$A19,Dataset!$A:$A,0), MATCH(Task_2!F$5,Dataset!$A$1:$X$1,0))</f>
        <v>63.6</v>
      </c>
    </row>
    <row r="20" spans="1:6" ht="15" x14ac:dyDescent="0.2">
      <c r="A20" s="7" t="s">
        <v>28</v>
      </c>
      <c r="B20" s="10">
        <f>INDEX(Dataset!$A$1:$X$40, MATCH(Task_2!$A20,Dataset!$A:$A,0), MATCH(Task_2!B$5,Dataset!$A$1:$X$1,0))</f>
        <v>0</v>
      </c>
      <c r="C20" s="10">
        <f>INDEX(Dataset!$A$1:$X$40, MATCH(Task_2!$A20,Dataset!$A:$A,0), MATCH(Task_2!C$5,Dataset!$A$1:$X$1,0))</f>
        <v>0</v>
      </c>
      <c r="D20" s="10">
        <f>INDEX(Dataset!$A$1:$X$40, MATCH(Task_2!$A20,Dataset!$A:$A,0), MATCH(Task_2!D$5,Dataset!$A$1:$X$1,0))</f>
        <v>0</v>
      </c>
      <c r="E20" s="10">
        <f>INDEX(Dataset!$A$1:$X$40, MATCH(Task_2!$A20,Dataset!$A:$A,0), MATCH(Task_2!E$5,Dataset!$A$1:$X$1,0))</f>
        <v>0</v>
      </c>
      <c r="F20" s="10">
        <f>INDEX(Dataset!$A$1:$X$40, MATCH(Task_2!$A20,Dataset!$A:$A,0), MATCH(Task_2!F$5,Dataset!$A$1:$X$1,0))</f>
        <v>0</v>
      </c>
    </row>
    <row r="21" spans="1:6" ht="15" x14ac:dyDescent="0.2">
      <c r="A21" s="7" t="s">
        <v>57</v>
      </c>
      <c r="B21" s="10">
        <f>INDEX(Dataset!$A$1:$X$40, MATCH(Task_2!$A21,Dataset!$A:$A,0), MATCH(Task_2!B$5,Dataset!$A$1:$X$1,0))</f>
        <v>41.3</v>
      </c>
      <c r="C21" s="10">
        <f>INDEX(Dataset!$A$1:$X$40, MATCH(Task_2!$A21,Dataset!$A:$A,0), MATCH(Task_2!C$5,Dataset!$A$1:$X$1,0))</f>
        <v>124.4</v>
      </c>
      <c r="D21" s="10">
        <f>INDEX(Dataset!$A$1:$X$40, MATCH(Task_2!$A21,Dataset!$A:$A,0), MATCH(Task_2!D$5,Dataset!$A$1:$X$1,0))</f>
        <v>75</v>
      </c>
      <c r="E21" s="10">
        <f>INDEX(Dataset!$A$1:$X$40, MATCH(Task_2!$A21,Dataset!$A:$A,0), MATCH(Task_2!E$5,Dataset!$A$1:$X$1,0))</f>
        <v>151.5</v>
      </c>
      <c r="F21" s="10">
        <f>INDEX(Dataset!$A$1:$X$40, MATCH(Task_2!$A21,Dataset!$A:$A,0), MATCH(Task_2!F$5,Dataset!$A$1:$X$1,0))</f>
        <v>75</v>
      </c>
    </row>
    <row r="22" spans="1:6" ht="15" x14ac:dyDescent="0.2">
      <c r="A22" s="7" t="s">
        <v>58</v>
      </c>
      <c r="B22" s="10">
        <f>INDEX(Dataset!$A$1:$X$40, MATCH(Task_2!$A22,Dataset!$A:$A,0), MATCH(Task_2!B$5,Dataset!$A$1:$X$1,0))</f>
        <v>-1</v>
      </c>
      <c r="C22" s="10">
        <f>INDEX(Dataset!$A$1:$X$40, MATCH(Task_2!$A22,Dataset!$A:$A,0), MATCH(Task_2!C$5,Dataset!$A$1:$X$1,0))</f>
        <v>-1</v>
      </c>
      <c r="D22" s="10">
        <f>INDEX(Dataset!$A$1:$X$40, MATCH(Task_2!$A22,Dataset!$A:$A,0), MATCH(Task_2!D$5,Dataset!$A$1:$X$1,0))</f>
        <v>-1</v>
      </c>
      <c r="E22" s="10">
        <f>INDEX(Dataset!$A$1:$X$40, MATCH(Task_2!$A22,Dataset!$A:$A,0), MATCH(Task_2!E$5,Dataset!$A$1:$X$1,0))</f>
        <v>-1</v>
      </c>
      <c r="F22" s="10">
        <f>INDEX(Dataset!$A$1:$X$40, MATCH(Task_2!$A22,Dataset!$A:$A,0), MATCH(Task_2!F$5,Dataset!$A$1:$X$1,0))</f>
        <v>-1</v>
      </c>
    </row>
    <row r="23" spans="1:6" ht="15" x14ac:dyDescent="0.2">
      <c r="A23" s="7" t="s">
        <v>31</v>
      </c>
      <c r="B23" s="10">
        <f>INDEX(Dataset!$A$1:$X$40, MATCH(Task_2!$A23,Dataset!$A:$A,0), MATCH(Task_2!B$5,Dataset!$A$1:$X$1,0))</f>
        <v>45</v>
      </c>
      <c r="C23" s="10">
        <f>INDEX(Dataset!$A$1:$X$40, MATCH(Task_2!$A23,Dataset!$A:$A,0), MATCH(Task_2!C$5,Dataset!$A$1:$X$1,0))</f>
        <v>133.4</v>
      </c>
      <c r="D23" s="10">
        <f>INDEX(Dataset!$A$1:$X$40, MATCH(Task_2!$A23,Dataset!$A:$A,0), MATCH(Task_2!D$5,Dataset!$A$1:$X$1,0))</f>
        <v>79.400000000000006</v>
      </c>
      <c r="E23" s="10">
        <f>INDEX(Dataset!$A$1:$X$40, MATCH(Task_2!$A23,Dataset!$A:$A,0), MATCH(Task_2!E$5,Dataset!$A$1:$X$1,0))</f>
        <v>160.9</v>
      </c>
      <c r="F23" s="10">
        <f>INDEX(Dataset!$A$1:$X$40, MATCH(Task_2!$A23,Dataset!$A:$A,0), MATCH(Task_2!F$5,Dataset!$A$1:$X$1,0))</f>
        <v>79.400000000000006</v>
      </c>
    </row>
    <row r="24" spans="1:6" ht="15" x14ac:dyDescent="0.2">
      <c r="A24" s="7" t="s">
        <v>32</v>
      </c>
      <c r="B24" s="10">
        <f>INDEX(Dataset!$A$1:$X$40, MATCH(Task_2!$A24,Dataset!$A:$A,0), MATCH(Task_2!B$5,Dataset!$A$1:$X$1,0))</f>
        <v>-1</v>
      </c>
      <c r="C24" s="10">
        <f>INDEX(Dataset!$A$1:$X$40, MATCH(Task_2!$A24,Dataset!$A:$A,0), MATCH(Task_2!C$5,Dataset!$A$1:$X$1,0))</f>
        <v>-1</v>
      </c>
      <c r="D24" s="10">
        <f>INDEX(Dataset!$A$1:$X$40, MATCH(Task_2!$A24,Dataset!$A:$A,0), MATCH(Task_2!D$5,Dataset!$A$1:$X$1,0))</f>
        <v>-1</v>
      </c>
      <c r="E24" s="10">
        <f>INDEX(Dataset!$A$1:$X$40, MATCH(Task_2!$A24,Dataset!$A:$A,0), MATCH(Task_2!E$5,Dataset!$A$1:$X$1,0))</f>
        <v>-1</v>
      </c>
      <c r="F24" s="10">
        <f>INDEX(Dataset!$A$1:$X$40, MATCH(Task_2!$A24,Dataset!$A:$A,0), MATCH(Task_2!F$5,Dataset!$A$1:$X$1,0))</f>
        <v>-1</v>
      </c>
    </row>
    <row r="25" spans="1:6" ht="15" x14ac:dyDescent="0.2">
      <c r="A25" s="7" t="s">
        <v>34</v>
      </c>
      <c r="B25" s="10">
        <f>INDEX(Dataset!$A$1:$X$40, MATCH(Task_2!$A25,Dataset!$A:$A,0), MATCH(Task_2!B$5,Dataset!$A$1:$X$1,0))</f>
        <v>43.3</v>
      </c>
      <c r="C25" s="10">
        <f>INDEX(Dataset!$A$1:$X$40, MATCH(Task_2!$A25,Dataset!$A:$A,0), MATCH(Task_2!C$5,Dataset!$A$1:$X$1,0))</f>
        <v>128.6</v>
      </c>
      <c r="D25" s="10">
        <f>INDEX(Dataset!$A$1:$X$40, MATCH(Task_2!$A25,Dataset!$A:$A,0), MATCH(Task_2!D$5,Dataset!$A$1:$X$1,0))</f>
        <v>79.400000000000006</v>
      </c>
      <c r="E25" s="10">
        <f>INDEX(Dataset!$A$1:$X$40, MATCH(Task_2!$A25,Dataset!$A:$A,0), MATCH(Task_2!E$5,Dataset!$A$1:$X$1,0))</f>
        <v>160.9</v>
      </c>
      <c r="F25" s="10">
        <f>INDEX(Dataset!$A$1:$X$40, MATCH(Task_2!$A25,Dataset!$A:$A,0), MATCH(Task_2!F$5,Dataset!$A$1:$X$1,0))</f>
        <v>79.400000000000006</v>
      </c>
    </row>
    <row r="26" spans="1:6" ht="15" x14ac:dyDescent="0.2">
      <c r="A26" s="7" t="s">
        <v>37</v>
      </c>
      <c r="B26" s="10">
        <f>INDEX(Dataset!$A$1:$X$40, MATCH(Task_2!$A26,Dataset!$A:$A,0), MATCH(Task_2!B$5,Dataset!$A$1:$X$1,0))</f>
        <v>49.1</v>
      </c>
      <c r="C26" s="10">
        <f>INDEX(Dataset!$A$1:$X$40, MATCH(Task_2!$A26,Dataset!$A:$A,0), MATCH(Task_2!C$5,Dataset!$A$1:$X$1,0))</f>
        <v>146.80000000000001</v>
      </c>
      <c r="D26" s="10">
        <f>INDEX(Dataset!$A$1:$X$40, MATCH(Task_2!$A26,Dataset!$A:$A,0), MATCH(Task_2!D$5,Dataset!$A$1:$X$1,0))</f>
        <v>90.9</v>
      </c>
      <c r="E26" s="10">
        <f>INDEX(Dataset!$A$1:$X$40, MATCH(Task_2!$A26,Dataset!$A:$A,0), MATCH(Task_2!E$5,Dataset!$A$1:$X$1,0))</f>
        <v>183.5</v>
      </c>
      <c r="F26" s="10">
        <f>INDEX(Dataset!$A$1:$X$40, MATCH(Task_2!$A26,Dataset!$A:$A,0), MATCH(Task_2!F$5,Dataset!$A$1:$X$1,0))</f>
        <v>90.9</v>
      </c>
    </row>
    <row r="27" spans="1:6" ht="15" x14ac:dyDescent="0.2">
      <c r="A27" s="7" t="s">
        <v>39</v>
      </c>
      <c r="B27" s="10">
        <f>INDEX(Dataset!$A$1:$X$40, MATCH(Task_2!$A27,Dataset!$A:$A,0), MATCH(Task_2!B$5,Dataset!$A$1:$X$1,0))</f>
        <v>51.8</v>
      </c>
      <c r="C27" s="10">
        <f>INDEX(Dataset!$A$1:$X$40, MATCH(Task_2!$A27,Dataset!$A:$A,0), MATCH(Task_2!C$5,Dataset!$A$1:$X$1,0))</f>
        <v>156.4</v>
      </c>
      <c r="D27" s="10">
        <f>INDEX(Dataset!$A$1:$X$40, MATCH(Task_2!$A27,Dataset!$A:$A,0), MATCH(Task_2!D$5,Dataset!$A$1:$X$1,0))</f>
        <v>93.1</v>
      </c>
      <c r="E27" s="10">
        <f>INDEX(Dataset!$A$1:$X$40, MATCH(Task_2!$A27,Dataset!$A:$A,0), MATCH(Task_2!E$5,Dataset!$A$1:$X$1,0))</f>
        <v>188.1</v>
      </c>
      <c r="F27" s="10">
        <f>INDEX(Dataset!$A$1:$X$40, MATCH(Task_2!$A27,Dataset!$A:$A,0), MATCH(Task_2!F$5,Dataset!$A$1:$X$1,0))</f>
        <v>93.1</v>
      </c>
    </row>
    <row r="28" spans="1:6" ht="15" x14ac:dyDescent="0.2">
      <c r="A28" s="17" t="s">
        <v>82</v>
      </c>
      <c r="B28" s="29">
        <f>MIN(B6:B27)</f>
        <v>-1</v>
      </c>
      <c r="C28" s="29">
        <f t="shared" ref="C28:F28" si="0">MIN(C6:C27)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5" x14ac:dyDescent="0.2">
      <c r="A29" s="17" t="s">
        <v>83</v>
      </c>
      <c r="B29" s="29">
        <f>MAX(B6:B27)</f>
        <v>51.8</v>
      </c>
      <c r="C29" s="29">
        <f t="shared" ref="C29:F29" si="1">MAX(C6:C27)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5" x14ac:dyDescent="0.2">
      <c r="A30" s="17" t="s">
        <v>84</v>
      </c>
      <c r="B30" s="29">
        <f>AVERAGE(B6:B27)</f>
        <v>20.827272727272728</v>
      </c>
      <c r="C30" s="29">
        <f t="shared" ref="C30:F30" si="2">AVERAGE(C6:C27)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0" s="39" customFormat="1" ht="21" x14ac:dyDescent="0.25">
      <c r="A1" s="40" t="s">
        <v>56</v>
      </c>
      <c r="B1" s="39" t="s">
        <v>174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151</v>
      </c>
    </row>
    <row r="5" spans="1:10" ht="19" x14ac:dyDescent="0.25">
      <c r="A5" s="41" t="s">
        <v>53</v>
      </c>
      <c r="B5" s="1" t="s">
        <v>180</v>
      </c>
    </row>
    <row r="6" spans="1:10" ht="19" x14ac:dyDescent="0.25">
      <c r="A6" s="41" t="s">
        <v>153</v>
      </c>
      <c r="B6" s="38" t="s">
        <v>177</v>
      </c>
    </row>
    <row r="7" spans="1:10" ht="19" x14ac:dyDescent="0.25">
      <c r="A7" s="41"/>
      <c r="B7" s="38"/>
    </row>
    <row r="9" spans="1:10" ht="24" x14ac:dyDescent="0.3">
      <c r="A9" s="16" t="s">
        <v>165</v>
      </c>
      <c r="I9" s="2"/>
      <c r="J9" s="2"/>
    </row>
    <row r="10" spans="1:10" x14ac:dyDescent="0.2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4" x14ac:dyDescent="0.3">
      <c r="A14" s="16" t="s">
        <v>162</v>
      </c>
    </row>
    <row r="15" spans="1:10" x14ac:dyDescent="0.2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2">
      <c r="A16" s="7" t="s">
        <v>121</v>
      </c>
      <c r="B16" s="7">
        <v>20000</v>
      </c>
      <c r="C16" s="1" t="s">
        <v>5</v>
      </c>
      <c r="D16" s="1">
        <v>0</v>
      </c>
      <c r="E16" s="1" t="s">
        <v>6</v>
      </c>
      <c r="F16" s="10">
        <v>24</v>
      </c>
    </row>
    <row r="17" spans="1:6" x14ac:dyDescent="0.2">
      <c r="A17" s="7" t="s">
        <v>122</v>
      </c>
      <c r="B17" s="7">
        <v>20002</v>
      </c>
      <c r="C17" s="1" t="s">
        <v>5</v>
      </c>
      <c r="D17" s="1">
        <v>0</v>
      </c>
      <c r="E17" s="1" t="s">
        <v>6</v>
      </c>
      <c r="F17" s="10">
        <v>24</v>
      </c>
    </row>
    <row r="18" spans="1:6" x14ac:dyDescent="0.2">
      <c r="A18" s="7" t="s">
        <v>123</v>
      </c>
      <c r="B18" s="7">
        <v>20004</v>
      </c>
      <c r="C18" s="1" t="s">
        <v>5</v>
      </c>
      <c r="D18" s="1">
        <v>0</v>
      </c>
      <c r="E18" s="1" t="s">
        <v>6</v>
      </c>
      <c r="F18" s="10">
        <v>24</v>
      </c>
    </row>
    <row r="19" spans="1:6" x14ac:dyDescent="0.2">
      <c r="A19" s="7" t="s">
        <v>124</v>
      </c>
      <c r="B19" s="7">
        <v>20006</v>
      </c>
      <c r="C19" s="1" t="s">
        <v>5</v>
      </c>
      <c r="D19" s="1">
        <v>0</v>
      </c>
      <c r="E19" s="1" t="s">
        <v>6</v>
      </c>
      <c r="F19" s="10">
        <v>24</v>
      </c>
    </row>
    <row r="20" spans="1:6" x14ac:dyDescent="0.2">
      <c r="A20" s="7" t="s">
        <v>125</v>
      </c>
      <c r="B20" s="7">
        <v>20008</v>
      </c>
      <c r="C20" s="1" t="s">
        <v>5</v>
      </c>
      <c r="D20" s="1">
        <v>0</v>
      </c>
      <c r="E20" s="1" t="s">
        <v>6</v>
      </c>
      <c r="F20" s="10">
        <v>24</v>
      </c>
    </row>
    <row r="21" spans="1:6" x14ac:dyDescent="0.2">
      <c r="A21" s="7" t="s">
        <v>126</v>
      </c>
      <c r="B21" s="7">
        <v>20010</v>
      </c>
      <c r="C21" s="1" t="s">
        <v>5</v>
      </c>
      <c r="D21" s="1">
        <v>0</v>
      </c>
      <c r="E21" s="1" t="s">
        <v>6</v>
      </c>
      <c r="F21" s="10">
        <v>24</v>
      </c>
    </row>
    <row r="22" spans="1:6" x14ac:dyDescent="0.2">
      <c r="A22" s="7" t="s">
        <v>127</v>
      </c>
      <c r="B22" s="7">
        <v>20012</v>
      </c>
      <c r="C22" s="1" t="s">
        <v>5</v>
      </c>
      <c r="D22" s="1">
        <v>0</v>
      </c>
      <c r="E22" s="1" t="s">
        <v>6</v>
      </c>
      <c r="F22" s="10">
        <v>24</v>
      </c>
    </row>
    <row r="23" spans="1:6" x14ac:dyDescent="0.2">
      <c r="A23" s="7" t="s">
        <v>128</v>
      </c>
      <c r="B23" s="7">
        <v>20014</v>
      </c>
      <c r="C23" s="1" t="s">
        <v>5</v>
      </c>
      <c r="D23" s="1">
        <v>0</v>
      </c>
      <c r="E23" s="1" t="s">
        <v>6</v>
      </c>
      <c r="F23" s="10">
        <v>24</v>
      </c>
    </row>
    <row r="24" spans="1:6" x14ac:dyDescent="0.2">
      <c r="A24" s="7" t="s">
        <v>129</v>
      </c>
      <c r="B24" s="7">
        <v>20016</v>
      </c>
      <c r="C24" s="1" t="s">
        <v>5</v>
      </c>
      <c r="D24" s="1">
        <v>0</v>
      </c>
      <c r="E24" s="1" t="s">
        <v>6</v>
      </c>
      <c r="F24" s="10">
        <v>24</v>
      </c>
    </row>
    <row r="25" spans="1:6" x14ac:dyDescent="0.2">
      <c r="A25" s="7" t="s">
        <v>130</v>
      </c>
      <c r="B25" s="7">
        <v>20018</v>
      </c>
      <c r="C25" s="1" t="s">
        <v>5</v>
      </c>
      <c r="D25" s="1">
        <v>0</v>
      </c>
      <c r="E25" s="1" t="s">
        <v>6</v>
      </c>
      <c r="F25" s="10">
        <v>24</v>
      </c>
    </row>
    <row r="26" spans="1:6" x14ac:dyDescent="0.2">
      <c r="A26" s="7" t="s">
        <v>131</v>
      </c>
      <c r="B26" s="7">
        <v>20020</v>
      </c>
      <c r="C26" s="1" t="s">
        <v>5</v>
      </c>
      <c r="D26" s="1">
        <v>0</v>
      </c>
      <c r="E26" s="1" t="s">
        <v>6</v>
      </c>
      <c r="F26" s="10">
        <v>24</v>
      </c>
    </row>
    <row r="27" spans="1:6" x14ac:dyDescent="0.2">
      <c r="A27" s="7" t="s">
        <v>132</v>
      </c>
      <c r="B27" s="7">
        <v>20022</v>
      </c>
      <c r="C27" s="1" t="s">
        <v>5</v>
      </c>
      <c r="D27" s="1">
        <v>0</v>
      </c>
      <c r="E27" s="1" t="s">
        <v>6</v>
      </c>
      <c r="F27" s="10">
        <v>24</v>
      </c>
    </row>
    <row r="28" spans="1:6" x14ac:dyDescent="0.2">
      <c r="A28" s="7" t="s">
        <v>133</v>
      </c>
      <c r="B28" s="7">
        <v>20024</v>
      </c>
      <c r="C28" s="1" t="s">
        <v>5</v>
      </c>
      <c r="D28" s="1">
        <v>0</v>
      </c>
      <c r="E28" s="1" t="s">
        <v>6</v>
      </c>
      <c r="F28" s="10">
        <v>24</v>
      </c>
    </row>
    <row r="29" spans="1:6" x14ac:dyDescent="0.2">
      <c r="A29" s="7" t="s">
        <v>134</v>
      </c>
      <c r="B29" s="7">
        <v>20026</v>
      </c>
      <c r="C29" s="1" t="s">
        <v>5</v>
      </c>
      <c r="D29" s="1">
        <v>0</v>
      </c>
      <c r="E29" s="1" t="s">
        <v>6</v>
      </c>
      <c r="F29" s="10">
        <v>24</v>
      </c>
    </row>
    <row r="30" spans="1:6" x14ac:dyDescent="0.2">
      <c r="A30" s="7" t="s">
        <v>135</v>
      </c>
      <c r="B30" s="7">
        <v>20028</v>
      </c>
      <c r="C30" s="1" t="s">
        <v>5</v>
      </c>
      <c r="D30" s="1">
        <v>0</v>
      </c>
      <c r="E30" s="1" t="s">
        <v>6</v>
      </c>
      <c r="F30" s="10">
        <v>24</v>
      </c>
    </row>
    <row r="31" spans="1:6" x14ac:dyDescent="0.2">
      <c r="A31" s="7" t="s">
        <v>136</v>
      </c>
      <c r="B31" s="7">
        <v>20030</v>
      </c>
      <c r="C31" s="1" t="s">
        <v>5</v>
      </c>
      <c r="D31" s="1">
        <v>0</v>
      </c>
      <c r="E31" s="1" t="s">
        <v>6</v>
      </c>
      <c r="F31" s="10">
        <v>24</v>
      </c>
    </row>
    <row r="32" spans="1:6" x14ac:dyDescent="0.2">
      <c r="A32" s="7" t="s">
        <v>137</v>
      </c>
      <c r="B32" s="7">
        <v>20032</v>
      </c>
      <c r="C32" s="1" t="s">
        <v>5</v>
      </c>
      <c r="D32" s="1">
        <v>0</v>
      </c>
      <c r="E32" s="1" t="s">
        <v>6</v>
      </c>
      <c r="F32" s="10">
        <v>24</v>
      </c>
    </row>
    <row r="33" spans="1:6" x14ac:dyDescent="0.2">
      <c r="A33" s="7" t="s">
        <v>138</v>
      </c>
      <c r="B33" s="7">
        <v>20034</v>
      </c>
      <c r="C33" s="1" t="s">
        <v>5</v>
      </c>
      <c r="D33" s="1">
        <v>0</v>
      </c>
      <c r="E33" s="1" t="s">
        <v>6</v>
      </c>
      <c r="F33" s="10">
        <v>24</v>
      </c>
    </row>
    <row r="34" spans="1:6" x14ac:dyDescent="0.2">
      <c r="A34" s="7" t="s">
        <v>139</v>
      </c>
      <c r="B34" s="7">
        <v>20036</v>
      </c>
      <c r="C34" s="1" t="s">
        <v>5</v>
      </c>
      <c r="D34" s="1">
        <v>0</v>
      </c>
      <c r="E34" s="1" t="s">
        <v>6</v>
      </c>
      <c r="F34" s="10">
        <v>24</v>
      </c>
    </row>
    <row r="35" spans="1:6" x14ac:dyDescent="0.2">
      <c r="A35" s="7" t="s">
        <v>140</v>
      </c>
      <c r="B35" s="7">
        <v>20038</v>
      </c>
      <c r="C35" s="1" t="s">
        <v>5</v>
      </c>
      <c r="D35" s="1">
        <v>0</v>
      </c>
      <c r="E35" s="1" t="s">
        <v>6</v>
      </c>
      <c r="F35" s="10">
        <v>24</v>
      </c>
    </row>
    <row r="36" spans="1:6" x14ac:dyDescent="0.2">
      <c r="A36" s="7" t="s">
        <v>141</v>
      </c>
      <c r="B36" s="7">
        <v>20040</v>
      </c>
      <c r="C36" s="1" t="s">
        <v>5</v>
      </c>
      <c r="D36" s="1">
        <v>0</v>
      </c>
      <c r="E36" s="1" t="s">
        <v>6</v>
      </c>
      <c r="F36" s="10">
        <v>24</v>
      </c>
    </row>
    <row r="37" spans="1:6" x14ac:dyDescent="0.2">
      <c r="A37" s="7" t="s">
        <v>142</v>
      </c>
      <c r="B37" s="7">
        <v>20042</v>
      </c>
      <c r="C37" s="1" t="s">
        <v>5</v>
      </c>
      <c r="D37" s="1">
        <v>0</v>
      </c>
      <c r="E37" s="1" t="s">
        <v>6</v>
      </c>
      <c r="F37" s="10">
        <v>24</v>
      </c>
    </row>
    <row r="38" spans="1:6" x14ac:dyDescent="0.2">
      <c r="A38" s="7" t="s">
        <v>143</v>
      </c>
      <c r="B38" s="7">
        <v>20044</v>
      </c>
      <c r="C38" s="1" t="s">
        <v>5</v>
      </c>
      <c r="D38" s="1">
        <v>0</v>
      </c>
      <c r="E38" s="1" t="s">
        <v>6</v>
      </c>
      <c r="F38" s="10">
        <v>24</v>
      </c>
    </row>
    <row r="39" spans="1:6" x14ac:dyDescent="0.2">
      <c r="A39" s="7" t="s">
        <v>144</v>
      </c>
      <c r="B39" s="7">
        <v>20046</v>
      </c>
      <c r="C39" s="1" t="s">
        <v>5</v>
      </c>
      <c r="D39" s="1">
        <v>0</v>
      </c>
      <c r="E39" s="1" t="s">
        <v>6</v>
      </c>
      <c r="F39" s="10">
        <v>24</v>
      </c>
    </row>
    <row r="40" spans="1:6" x14ac:dyDescent="0.2">
      <c r="A40" s="7" t="s">
        <v>145</v>
      </c>
      <c r="B40" s="7">
        <v>20048</v>
      </c>
      <c r="C40" s="1" t="s">
        <v>5</v>
      </c>
      <c r="D40" s="1">
        <v>0</v>
      </c>
      <c r="E40" s="1" t="s">
        <v>6</v>
      </c>
      <c r="F40" s="10">
        <v>24</v>
      </c>
    </row>
    <row r="41" spans="1:6" x14ac:dyDescent="0.2">
      <c r="A41" s="7" t="s">
        <v>146</v>
      </c>
      <c r="B41" s="7">
        <v>20050</v>
      </c>
      <c r="C41" s="1" t="s">
        <v>5</v>
      </c>
      <c r="D41" s="1">
        <v>0</v>
      </c>
      <c r="E41" s="1" t="s">
        <v>6</v>
      </c>
      <c r="F41" s="10">
        <v>24</v>
      </c>
    </row>
    <row r="42" spans="1:6" x14ac:dyDescent="0.2">
      <c r="A42" s="7" t="s">
        <v>147</v>
      </c>
      <c r="B42" s="7">
        <v>20052</v>
      </c>
      <c r="C42" s="1" t="s">
        <v>5</v>
      </c>
      <c r="D42" s="1">
        <v>0</v>
      </c>
      <c r="E42" s="1" t="s">
        <v>6</v>
      </c>
      <c r="F42" s="10">
        <v>24</v>
      </c>
    </row>
    <row r="43" spans="1:6" x14ac:dyDescent="0.2">
      <c r="A43" s="7" t="s">
        <v>148</v>
      </c>
      <c r="B43" s="7">
        <v>20054</v>
      </c>
      <c r="C43" s="1" t="s">
        <v>5</v>
      </c>
      <c r="D43" s="1">
        <v>0</v>
      </c>
      <c r="E43" s="1" t="s">
        <v>6</v>
      </c>
      <c r="F43" s="10">
        <v>24</v>
      </c>
    </row>
    <row r="44" spans="1:6" x14ac:dyDescent="0.2">
      <c r="A44" s="7" t="s">
        <v>149</v>
      </c>
      <c r="B44" s="7">
        <v>20058</v>
      </c>
      <c r="C44" s="1" t="s">
        <v>5</v>
      </c>
      <c r="D44" s="1">
        <v>0</v>
      </c>
      <c r="E44" s="1" t="s">
        <v>6</v>
      </c>
      <c r="F44" s="10">
        <v>24</v>
      </c>
    </row>
    <row r="45" spans="1:6" x14ac:dyDescent="0.2">
      <c r="A45" s="7" t="s">
        <v>150</v>
      </c>
      <c r="B45" s="7">
        <v>20060</v>
      </c>
      <c r="C45" s="1" t="s">
        <v>5</v>
      </c>
      <c r="D45" s="1">
        <v>0</v>
      </c>
      <c r="E45" s="1" t="s">
        <v>6</v>
      </c>
      <c r="F45" s="10">
        <v>24</v>
      </c>
    </row>
    <row r="46" spans="1:6" x14ac:dyDescent="0.2">
      <c r="A46" s="7" t="s">
        <v>112</v>
      </c>
      <c r="B46" s="7">
        <v>21000</v>
      </c>
      <c r="C46" s="1" t="s">
        <v>5</v>
      </c>
      <c r="D46" s="1">
        <v>0</v>
      </c>
      <c r="E46" s="1" t="s">
        <v>6</v>
      </c>
      <c r="F46" s="10">
        <v>24</v>
      </c>
    </row>
    <row r="47" spans="1:6" x14ac:dyDescent="0.2">
      <c r="A47" s="7" t="s">
        <v>113</v>
      </c>
      <c r="B47" s="7">
        <v>21002</v>
      </c>
      <c r="C47" s="1" t="s">
        <v>5</v>
      </c>
      <c r="D47" s="1">
        <v>0</v>
      </c>
      <c r="E47" s="1" t="s">
        <v>6</v>
      </c>
      <c r="F47" s="10">
        <v>24</v>
      </c>
    </row>
    <row r="48" spans="1:6" x14ac:dyDescent="0.2">
      <c r="A48" s="7" t="s">
        <v>114</v>
      </c>
      <c r="B48" s="7">
        <v>21004</v>
      </c>
      <c r="C48" s="1" t="s">
        <v>5</v>
      </c>
      <c r="D48" s="1">
        <v>0</v>
      </c>
      <c r="E48" s="1" t="s">
        <v>6</v>
      </c>
      <c r="F48" s="10">
        <v>24</v>
      </c>
    </row>
    <row r="49" spans="1:6" x14ac:dyDescent="0.2">
      <c r="A49" s="7" t="s">
        <v>115</v>
      </c>
      <c r="B49" s="7">
        <v>21006</v>
      </c>
      <c r="C49" s="1" t="s">
        <v>5</v>
      </c>
      <c r="D49" s="1">
        <v>0</v>
      </c>
      <c r="E49" s="1" t="s">
        <v>6</v>
      </c>
      <c r="F49" s="10">
        <v>24</v>
      </c>
    </row>
    <row r="50" spans="1:6" x14ac:dyDescent="0.2">
      <c r="A50" s="7" t="s">
        <v>116</v>
      </c>
      <c r="B50" s="7">
        <v>21008</v>
      </c>
      <c r="C50" s="1" t="s">
        <v>5</v>
      </c>
      <c r="D50" s="1">
        <v>0</v>
      </c>
      <c r="E50" s="1" t="s">
        <v>6</v>
      </c>
      <c r="F50" s="10">
        <v>24</v>
      </c>
    </row>
    <row r="51" spans="1:6" x14ac:dyDescent="0.2">
      <c r="A51" s="7" t="s">
        <v>117</v>
      </c>
      <c r="B51" s="7">
        <v>21010</v>
      </c>
      <c r="C51" s="1" t="s">
        <v>5</v>
      </c>
      <c r="D51" s="1">
        <v>0</v>
      </c>
      <c r="E51" s="1" t="s">
        <v>6</v>
      </c>
      <c r="F51" s="10">
        <v>24</v>
      </c>
    </row>
    <row r="52" spans="1:6" x14ac:dyDescent="0.2">
      <c r="A52" s="7" t="s">
        <v>118</v>
      </c>
      <c r="B52" s="7">
        <v>21012</v>
      </c>
      <c r="C52" s="1" t="s">
        <v>5</v>
      </c>
      <c r="D52" s="1">
        <v>0</v>
      </c>
      <c r="E52" s="1" t="s">
        <v>6</v>
      </c>
      <c r="F52" s="10">
        <v>24</v>
      </c>
    </row>
    <row r="53" spans="1:6" x14ac:dyDescent="0.2">
      <c r="A53" s="7" t="s">
        <v>119</v>
      </c>
      <c r="B53" s="7">
        <v>21014</v>
      </c>
      <c r="C53" s="1" t="s">
        <v>5</v>
      </c>
      <c r="D53" s="1">
        <v>0</v>
      </c>
      <c r="E53" s="1" t="s">
        <v>6</v>
      </c>
      <c r="F53" s="10">
        <v>24</v>
      </c>
    </row>
    <row r="54" spans="1:6" x14ac:dyDescent="0.2">
      <c r="A54" s="8" t="s">
        <v>120</v>
      </c>
      <c r="B54" s="8">
        <v>21016</v>
      </c>
      <c r="C54" s="1" t="s">
        <v>5</v>
      </c>
      <c r="D54" s="1">
        <v>0</v>
      </c>
      <c r="E54" s="1" t="s">
        <v>6</v>
      </c>
      <c r="F54" s="10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25">
      <c r="A1" s="40" t="s">
        <v>85</v>
      </c>
      <c r="B1" s="39" t="s">
        <v>167</v>
      </c>
    </row>
    <row r="2" spans="1:3" ht="19" x14ac:dyDescent="0.25">
      <c r="B2" s="38" t="s">
        <v>166</v>
      </c>
    </row>
    <row r="5" spans="1:3" ht="15" x14ac:dyDescent="0.2">
      <c r="B5" s="1" t="s">
        <v>151</v>
      </c>
    </row>
    <row r="6" spans="1:3" ht="15" x14ac:dyDescent="0.2">
      <c r="A6" s="3" t="s">
        <v>53</v>
      </c>
      <c r="B6" s="1" t="s">
        <v>178</v>
      </c>
    </row>
    <row r="7" spans="1:3" ht="15" x14ac:dyDescent="0.2">
      <c r="A7" s="3" t="s">
        <v>153</v>
      </c>
      <c r="B7" s="1" t="s">
        <v>179</v>
      </c>
    </row>
    <row r="10" spans="1:3" ht="24" x14ac:dyDescent="0.3">
      <c r="A10" s="16" t="s">
        <v>162</v>
      </c>
    </row>
    <row r="11" spans="1:3" ht="15" x14ac:dyDescent="0.2">
      <c r="A11" s="30" t="s">
        <v>86</v>
      </c>
      <c r="B11" s="15" t="s">
        <v>87</v>
      </c>
      <c r="C11" s="15" t="s">
        <v>88</v>
      </c>
    </row>
    <row r="12" spans="1:3" ht="15" x14ac:dyDescent="0.2">
      <c r="A12" s="30">
        <v>44927</v>
      </c>
      <c r="B12" s="15" t="s">
        <v>59</v>
      </c>
      <c r="C12" s="15">
        <v>200</v>
      </c>
    </row>
    <row r="13" spans="1:3" ht="15" x14ac:dyDescent="0.2">
      <c r="A13" s="30">
        <v>44928</v>
      </c>
      <c r="B13" s="15" t="s">
        <v>60</v>
      </c>
      <c r="C13" s="15" t="e">
        <v>#N/A</v>
      </c>
    </row>
    <row r="14" spans="1:3" ht="15" x14ac:dyDescent="0.2">
      <c r="A14" s="30">
        <v>44929</v>
      </c>
      <c r="B14" s="15" t="s">
        <v>61</v>
      </c>
      <c r="C14" s="15">
        <v>50</v>
      </c>
    </row>
    <row r="15" spans="1:3" ht="15" x14ac:dyDescent="0.2">
      <c r="A15" s="30">
        <v>44930</v>
      </c>
      <c r="B15" s="15" t="s">
        <v>62</v>
      </c>
      <c r="C15" s="15" t="e">
        <v>#N/A</v>
      </c>
    </row>
    <row r="16" spans="1:3" ht="15" x14ac:dyDescent="0.2">
      <c r="A16" s="30">
        <v>44931</v>
      </c>
      <c r="B16" s="15" t="s">
        <v>63</v>
      </c>
      <c r="C16" s="15">
        <v>10</v>
      </c>
    </row>
    <row r="17" spans="1:3" ht="15" x14ac:dyDescent="0.2">
      <c r="A17" s="30">
        <v>44932</v>
      </c>
      <c r="B17" s="15" t="s">
        <v>154</v>
      </c>
      <c r="C17" s="15">
        <v>150</v>
      </c>
    </row>
    <row r="18" spans="1:3" ht="15" x14ac:dyDescent="0.2">
      <c r="A18" s="30">
        <v>44933</v>
      </c>
      <c r="B18" s="15" t="s">
        <v>155</v>
      </c>
      <c r="C18" s="15">
        <v>80</v>
      </c>
    </row>
    <row r="19" spans="1:3" ht="15" x14ac:dyDescent="0.2">
      <c r="A19" s="30">
        <v>44934</v>
      </c>
      <c r="B19" s="15" t="s">
        <v>156</v>
      </c>
      <c r="C19" s="15" t="e">
        <v>#N/A</v>
      </c>
    </row>
    <row r="20" spans="1:3" ht="15" x14ac:dyDescent="0.2">
      <c r="A20" s="30">
        <v>44935</v>
      </c>
      <c r="B20" s="15" t="s">
        <v>157</v>
      </c>
      <c r="C20" s="15">
        <v>30</v>
      </c>
    </row>
    <row r="21" spans="1:3" ht="15" x14ac:dyDescent="0.2">
      <c r="A21" s="30">
        <v>44936</v>
      </c>
      <c r="B21" s="15" t="s">
        <v>158</v>
      </c>
      <c r="C21" s="15" t="e">
        <v>#N/A</v>
      </c>
    </row>
    <row r="22" spans="1:3" ht="15" x14ac:dyDescent="0.2">
      <c r="B22" s="15" t="s">
        <v>159</v>
      </c>
      <c r="C22" s="23">
        <f>SUMIFS(C12:C21,$C$12:$C$21,"&lt;&gt;"&amp;"#N/A")+(COUNTIFS($C$12:$C$21,"#N/A")*20)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A2" sqref="A2"/>
    </sheetView>
  </sheetViews>
  <sheetFormatPr baseColWidth="10" defaultRowHeight="14" x14ac:dyDescent="0.2"/>
  <cols>
    <col min="1" max="1" width="28.19921875" style="2" bestFit="1" customWidth="1"/>
    <col min="2" max="16384" width="11" style="2"/>
  </cols>
  <sheetData>
    <row r="1" spans="1:14" ht="21" x14ac:dyDescent="0.25">
      <c r="A1" s="40" t="s">
        <v>98</v>
      </c>
      <c r="B1" s="39" t="s">
        <v>175</v>
      </c>
    </row>
    <row r="3" spans="1:14" ht="15" x14ac:dyDescent="0.2">
      <c r="B3" s="1" t="s">
        <v>151</v>
      </c>
    </row>
    <row r="4" spans="1:14" ht="19" x14ac:dyDescent="0.25">
      <c r="A4" s="41" t="s">
        <v>53</v>
      </c>
      <c r="B4" s="1"/>
      <c r="C4" s="2" t="s">
        <v>181</v>
      </c>
    </row>
    <row r="5" spans="1:14" ht="19" x14ac:dyDescent="0.25">
      <c r="A5" s="41" t="s">
        <v>153</v>
      </c>
      <c r="B5" s="1"/>
      <c r="C5" s="2" t="s">
        <v>182</v>
      </c>
    </row>
    <row r="6" spans="1:14" ht="15" x14ac:dyDescent="0.2">
      <c r="A6" s="3"/>
      <c r="B6" s="1"/>
    </row>
    <row r="8" spans="1:14" ht="24" x14ac:dyDescent="0.3">
      <c r="A8" s="16" t="s">
        <v>162</v>
      </c>
      <c r="M8" s="16" t="s">
        <v>163</v>
      </c>
    </row>
    <row r="9" spans="1:14" ht="15" x14ac:dyDescent="0.2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 x14ac:dyDescent="0.2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5" x14ac:dyDescent="0.2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5" x14ac:dyDescent="0.2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5" x14ac:dyDescent="0.2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5" x14ac:dyDescent="0.2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5" x14ac:dyDescent="0.2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5" x14ac:dyDescent="0.2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5" x14ac:dyDescent="0.2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5" x14ac:dyDescent="0.2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4" x14ac:dyDescent="0.3">
      <c r="A21" s="16" t="s">
        <v>168</v>
      </c>
    </row>
    <row r="22" spans="1:14" ht="15" x14ac:dyDescent="0.2">
      <c r="A22" s="12" t="s">
        <v>100</v>
      </c>
      <c r="B22" s="15" t="s">
        <v>101</v>
      </c>
      <c r="C22" s="14" t="s">
        <v>102</v>
      </c>
    </row>
    <row r="23" spans="1:14" ht="15" x14ac:dyDescent="0.2">
      <c r="A23" s="7">
        <v>10100</v>
      </c>
      <c r="B23" s="10">
        <v>10102</v>
      </c>
      <c r="C23" s="42">
        <f>INDEX($A$9:$J$18,MATCH(VLOOKUP($A23,$M$10:$N$18,2),$9:$9,0), MATCH(VLOOKUP($B23,$M$10:$N$18,2),$A$9:$A$18,0))</f>
        <v>95</v>
      </c>
    </row>
    <row r="24" spans="1:14" ht="15" x14ac:dyDescent="0.2">
      <c r="A24" s="7">
        <v>10100</v>
      </c>
      <c r="B24" s="10">
        <v>10104</v>
      </c>
      <c r="C24" s="42">
        <f t="shared" ref="C24:C35" si="0">INDEX($A$9:$J$18,MATCH(VLOOKUP($A24,$M$10:$N$18,2),$9:$9,0), MATCH(VLOOKUP($B24,$M$10:$N$18,2),$A$9:$A$18,0))</f>
        <v>-1</v>
      </c>
    </row>
    <row r="25" spans="1:14" ht="15" x14ac:dyDescent="0.2">
      <c r="A25" s="7">
        <v>10108</v>
      </c>
      <c r="B25" s="10">
        <v>10102</v>
      </c>
      <c r="C25" s="42">
        <f t="shared" si="0"/>
        <v>160</v>
      </c>
    </row>
    <row r="26" spans="1:14" ht="15" x14ac:dyDescent="0.2">
      <c r="A26" s="7">
        <v>10100</v>
      </c>
      <c r="B26" s="10">
        <v>10106</v>
      </c>
      <c r="C26" s="42">
        <f t="shared" si="0"/>
        <v>185</v>
      </c>
    </row>
    <row r="27" spans="1:14" ht="15" x14ac:dyDescent="0.2">
      <c r="A27" s="7">
        <v>10108</v>
      </c>
      <c r="B27" s="10">
        <v>10110</v>
      </c>
      <c r="C27" s="42">
        <f t="shared" si="0"/>
        <v>50</v>
      </c>
    </row>
    <row r="28" spans="1:14" ht="15" x14ac:dyDescent="0.2">
      <c r="A28" s="7">
        <v>10102</v>
      </c>
      <c r="B28" s="10">
        <v>10104</v>
      </c>
      <c r="C28" s="42">
        <f t="shared" si="0"/>
        <v>-1</v>
      </c>
    </row>
    <row r="29" spans="1:14" ht="15" x14ac:dyDescent="0.2">
      <c r="A29" s="7">
        <v>10106</v>
      </c>
      <c r="B29" s="10">
        <v>10108</v>
      </c>
      <c r="C29" s="42">
        <f t="shared" si="0"/>
        <v>70</v>
      </c>
    </row>
    <row r="30" spans="1:14" ht="15" x14ac:dyDescent="0.2">
      <c r="A30" s="7">
        <v>10102</v>
      </c>
      <c r="B30" s="10">
        <v>10106</v>
      </c>
      <c r="C30" s="42">
        <f t="shared" si="0"/>
        <v>90</v>
      </c>
    </row>
    <row r="31" spans="1:14" ht="15" x14ac:dyDescent="0.2">
      <c r="A31" s="7">
        <v>10110</v>
      </c>
      <c r="B31" s="10">
        <v>10114</v>
      </c>
      <c r="C31" s="42">
        <f t="shared" si="0"/>
        <v>180</v>
      </c>
    </row>
    <row r="32" spans="1:14" ht="15" x14ac:dyDescent="0.2">
      <c r="A32" s="7">
        <v>10104</v>
      </c>
      <c r="B32" s="10">
        <v>10106</v>
      </c>
      <c r="C32" s="42">
        <f t="shared" si="0"/>
        <v>60</v>
      </c>
    </row>
    <row r="33" spans="1:3" ht="15" x14ac:dyDescent="0.2">
      <c r="A33" s="7">
        <v>10110</v>
      </c>
      <c r="B33" s="10">
        <v>10112</v>
      </c>
      <c r="C33" s="42">
        <f t="shared" si="0"/>
        <v>115</v>
      </c>
    </row>
    <row r="34" spans="1:3" ht="15" x14ac:dyDescent="0.2">
      <c r="A34" s="7">
        <v>10100</v>
      </c>
      <c r="B34" s="10">
        <v>10114</v>
      </c>
      <c r="C34" s="42">
        <f t="shared" si="0"/>
        <v>480</v>
      </c>
    </row>
    <row r="35" spans="1:3" ht="15" x14ac:dyDescent="0.2">
      <c r="A35" s="8">
        <v>10112</v>
      </c>
      <c r="B35" s="11">
        <v>10116</v>
      </c>
      <c r="C35" s="42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Microsoft Office User</cp:lastModifiedBy>
  <dcterms:created xsi:type="dcterms:W3CDTF">2015-02-10T17:33:11Z</dcterms:created>
  <dcterms:modified xsi:type="dcterms:W3CDTF">2023-12-11T04:26:14Z</dcterms:modified>
</cp:coreProperties>
</file>